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i\Documents\CMPG171\"/>
    </mc:Choice>
  </mc:AlternateContent>
  <xr:revisionPtr revIDLastSave="0" documentId="13_ncr:1_{990E051D-4AEC-46C8-88CB-4C7C393CF70D}" xr6:coauthVersionLast="47" xr6:coauthVersionMax="47" xr10:uidLastSave="{00000000-0000-0000-0000-000000000000}"/>
  <bookViews>
    <workbookView xWindow="-120" yWindow="-120" windowWidth="15600" windowHeight="11160" xr2:uid="{2FBCBFC9-8A8D-4FFF-A0EF-87C32495CAC3}"/>
  </bookViews>
  <sheets>
    <sheet name="renamed Company Database" sheetId="1" r:id="rId1"/>
    <sheet name="renamed budget database" sheetId="5" r:id="rId2"/>
  </sheets>
  <definedNames>
    <definedName name="_xlchart.v1.0" hidden="1">'renamed budget database'!$A$4</definedName>
    <definedName name="_xlchart.v1.1" hidden="1">'renamed budget database'!$A$5</definedName>
    <definedName name="_xlchart.v1.10" hidden="1">'renamed budget database'!$B$7:$M$7</definedName>
    <definedName name="_xlchart.v1.11" hidden="1">'renamed budget database'!$B$8:$M$8</definedName>
    <definedName name="_xlchart.v1.12" hidden="1">'renamed budget database'!$B$9:$M$9</definedName>
    <definedName name="_xlchart.v1.2" hidden="1">'renamed budget database'!$A$6</definedName>
    <definedName name="_xlchart.v1.3" hidden="1">'renamed budget database'!$A$7</definedName>
    <definedName name="_xlchart.v1.4" hidden="1">'renamed budget database'!$A$8</definedName>
    <definedName name="_xlchart.v1.5" hidden="1">'renamed budget database'!$A$9</definedName>
    <definedName name="_xlchart.v1.6" hidden="1">'renamed budget database'!$B$2:$M$3</definedName>
    <definedName name="_xlchart.v1.7" hidden="1">'renamed budget database'!$B$4:$M$4</definedName>
    <definedName name="_xlchart.v1.8" hidden="1">'renamed budget database'!$B$5:$M$5</definedName>
    <definedName name="_xlchart.v1.9" hidden="1">'renamed budget database'!$B$6:$M$6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G11" i="1"/>
  <c r="G12" i="1"/>
  <c r="H12" i="1" s="1"/>
  <c r="G13" i="1"/>
  <c r="H13" i="1" s="1"/>
  <c r="G14" i="1"/>
  <c r="G15" i="1"/>
  <c r="H15" i="1" s="1"/>
  <c r="G16" i="1"/>
  <c r="H16" i="1" s="1"/>
</calcChain>
</file>

<file path=xl/sharedStrings.xml><?xml version="1.0" encoding="utf-8"?>
<sst xmlns="http://schemas.openxmlformats.org/spreadsheetml/2006/main" count="99" uniqueCount="86">
  <si>
    <t>First Name</t>
  </si>
  <si>
    <t>Last Name</t>
  </si>
  <si>
    <t>Gender</t>
  </si>
  <si>
    <t>Employee ID</t>
  </si>
  <si>
    <t>Position</t>
  </si>
  <si>
    <t>Monthly Salary</t>
  </si>
  <si>
    <t>Net Salary</t>
  </si>
  <si>
    <t>Annual Salary</t>
  </si>
  <si>
    <t>William</t>
  </si>
  <si>
    <t>John</t>
  </si>
  <si>
    <t>Rezza</t>
  </si>
  <si>
    <t>Mohan</t>
  </si>
  <si>
    <t>Jose</t>
  </si>
  <si>
    <t>Austin</t>
  </si>
  <si>
    <t>Cindy</t>
  </si>
  <si>
    <t>Perfedia</t>
  </si>
  <si>
    <t>Isaac</t>
  </si>
  <si>
    <t>Themba</t>
  </si>
  <si>
    <t>Steve</t>
  </si>
  <si>
    <t>Thokozani</t>
  </si>
  <si>
    <t>Sandile</t>
  </si>
  <si>
    <t>Khoza</t>
  </si>
  <si>
    <t>Van de beek</t>
  </si>
  <si>
    <t>Chauke</t>
  </si>
  <si>
    <t>Sithole</t>
  </si>
  <si>
    <t>Mashego</t>
  </si>
  <si>
    <t>Leboho</t>
  </si>
  <si>
    <t>Nyakane</t>
  </si>
  <si>
    <t>Mkhabela</t>
  </si>
  <si>
    <t>Motswedi</t>
  </si>
  <si>
    <t>Matthew</t>
  </si>
  <si>
    <t>Mac</t>
  </si>
  <si>
    <t>Motubatse</t>
  </si>
  <si>
    <t>Male</t>
  </si>
  <si>
    <t>Female</t>
  </si>
  <si>
    <t>E01</t>
  </si>
  <si>
    <t>E02</t>
  </si>
  <si>
    <t>E03</t>
  </si>
  <si>
    <t>E04</t>
  </si>
  <si>
    <t>E05</t>
  </si>
  <si>
    <t>E06</t>
  </si>
  <si>
    <t>E07</t>
  </si>
  <si>
    <t>E09</t>
  </si>
  <si>
    <t>E10</t>
  </si>
  <si>
    <t>E11</t>
  </si>
  <si>
    <t>E12</t>
  </si>
  <si>
    <t>E13</t>
  </si>
  <si>
    <t>E14</t>
  </si>
  <si>
    <t>Mpho</t>
  </si>
  <si>
    <t>E15</t>
  </si>
  <si>
    <t>Stoe</t>
  </si>
  <si>
    <t>CEO</t>
  </si>
  <si>
    <t>Web Developer</t>
  </si>
  <si>
    <t>Senior HR</t>
  </si>
  <si>
    <t>HR Consultant</t>
  </si>
  <si>
    <t>IT Admin</t>
  </si>
  <si>
    <t>Sr Technical</t>
  </si>
  <si>
    <t xml:space="preserve">Data scientist </t>
  </si>
  <si>
    <t>Data Analyst</t>
  </si>
  <si>
    <t>Receptionist</t>
  </si>
  <si>
    <t>Sr manager</t>
  </si>
  <si>
    <t>Security</t>
  </si>
  <si>
    <t>Driver</t>
  </si>
  <si>
    <t>Handyman</t>
  </si>
  <si>
    <t>Cleaner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</si>
  <si>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</si>
  <si>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</si>
  <si>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</si>
  <si>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</si>
  <si>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</si>
  <si>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</si>
  <si>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</si>
  <si>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</si>
  <si>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</si>
  <si>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</si>
  <si>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</si>
  <si>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</si>
  <si>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Internet access</t>
  </si>
  <si>
    <t>Telephone</t>
  </si>
  <si>
    <t>Total salaries</t>
  </si>
  <si>
    <t>Gas/Fuel</t>
  </si>
  <si>
    <t>EXPENSES</t>
  </si>
  <si>
    <t>Water&amp;Electricity</t>
  </si>
  <si>
    <t xml:space="preserve">Insurance </t>
  </si>
  <si>
    <t>BUDGET OF THE COMPANY</t>
  </si>
  <si>
    <t>EMPLOYEE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</si>
</sst>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&quot;R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1" applyNumberFormat="1" applyFont="1"/>
    <xf numFmtId="164" fontId="0" fillId="0" borderId="0" xfId="0" applyNumberFormat="1"/>
    <xf numFmtId="164" fontId="0" fillId="0" borderId="0" xfId="2" applyNumberFormat="1" applyFont="1"/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BUDGET</a:t>
            </a:r>
            <a:r>
              <a:rPr lang="en-ZA" baseline="0"/>
              <a:t> OF THE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'renamed budget database'!$A$4</c:f>
              <c:strCache>
                <c:ptCount val="1"/>
                <c:pt idx="0">
                  <c:v>Total salaries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'renamed budget database'!$B$2:$M$3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'renamed budget database'!$B$4:$M$4</c:f>
              <c:numCache>
                <c:formatCode>"R"#\ ##0.00</c:formatCode>
                <c:ptCount val="12"/>
                <c:pt idx="0">
                  <c:v>570466.67700000003</c:v>
                </c:pt>
                <c:pt idx="1">
                  <c:v>570466.67700000003</c:v>
                </c:pt>
                <c:pt idx="2">
                  <c:v>570466.67700000003</c:v>
                </c:pt>
                <c:pt idx="3">
                  <c:v>570466.67700000003</c:v>
                </c:pt>
                <c:pt idx="4">
                  <c:v>570466.67700000003</c:v>
                </c:pt>
                <c:pt idx="5">
                  <c:v>570466.67700000003</c:v>
                </c:pt>
                <c:pt idx="6">
                  <c:v>570466.67700000003</c:v>
                </c:pt>
                <c:pt idx="7">
                  <c:v>570466.67700000003</c:v>
                </c:pt>
                <c:pt idx="8">
                  <c:v>570466.67700000003</c:v>
                </c:pt>
                <c:pt idx="9">
                  <c:v>570466.67700000003</c:v>
                </c:pt>
                <c:pt idx="10">
                  <c:v>570466.67700000003</c:v>
                </c:pt>
                <c:pt idx="11">
                  <c:v>570466.67700000003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D-42F7-8A37-8DB0294831F4}"/>
            </c:ext>
          </c:extLst>
        </c:ser>
        <c:ser>
          <c:idx val="1"/>
          <c:order val="1"/>
          <c:tx>
            <c:strRef>
              <c:f>'renamed budget database'!$A$5</c:f>
              <c:strCache>
                <c:ptCount val="1"/>
                <c:pt idx="0">
                  <c:v>Internet access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'renamed budget database'!$B$2:$M$3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'renamed budget database'!$B$5:$M$5</c:f>
              <c:numCache>
                <c:formatCode>"R"#\ ##0.00</c:formatCode>
                <c:ptCount val="12"/>
                <c:pt idx="0">
                  <c:v>1500</c:v>
                </c:pt>
                <c:pt idx="1">
                  <c:v>3458</c:v>
                </c:pt>
                <c:pt idx="2">
                  <c:v>1234</c:v>
                </c:pt>
                <c:pt idx="3">
                  <c:v>1280</c:v>
                </c:pt>
                <c:pt idx="4">
                  <c:v>2000</c:v>
                </c:pt>
                <c:pt idx="5">
                  <c:v>1450</c:v>
                </c:pt>
                <c:pt idx="6">
                  <c:v>0</c:v>
                </c:pt>
                <c:pt idx="7">
                  <c:v>759</c:v>
                </c:pt>
                <c:pt idx="8">
                  <c:v>2451</c:v>
                </c:pt>
                <c:pt idx="9">
                  <c:v>345</c:v>
                </c:pt>
                <c:pt idx="10">
                  <c:v>660</c:v>
                </c:pt>
                <c:pt idx="11">
                  <c:v>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D-42F7-8A37-8DB0294831F4}"/>
            </c:ext>
          </c:extLst>
        </c:ser>
        <c:ser>
          <c:idx val="2"/>
          <c:order val="2"/>
          <c:tx>
            <c:strRef>
              <c:f>'renamed budget database'!$A$6</c:f>
              <c:strCache>
                <c:ptCount val="1"/>
                <c:pt idx="0">
                  <c:v>Telephone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'renamed budget database'!$B$2:$M$3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'renamed budget database'!$B$6:$M$6</c:f>
              <c:numCache>
                <c:formatCode>"R"#\ ##0.00</c:formatCode>
                <c:ptCount val="12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1D-42F7-8A37-8DB0294831F4}"/>
            </c:ext>
          </c:extLst>
        </c:ser>
        <c:ser>
          <c:idx val="3"/>
          <c:order val="3"/>
          <c:tx>
            <c:strRef>
              <c:f>'renamed budget database'!$A$7</c:f>
              <c:strCache>
                <c:ptCount val="1"/>
                <c:pt idx="0">
                  <c:v>Gas/Fuel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'renamed budget database'!$B$2:$M$3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'renamed budget database'!$B$7:$M$7</c:f>
              <c:numCache>
                <c:formatCode>"R"#\ ##0.00</c:formatCode>
                <c:ptCount val="12"/>
                <c:pt idx="0">
                  <c:v>4500</c:v>
                </c:pt>
                <c:pt idx="1">
                  <c:v>2344</c:v>
                </c:pt>
                <c:pt idx="2">
                  <c:v>1230</c:v>
                </c:pt>
                <c:pt idx="3">
                  <c:v>1250</c:v>
                </c:pt>
                <c:pt idx="4">
                  <c:v>6570</c:v>
                </c:pt>
                <c:pt idx="5">
                  <c:v>1239</c:v>
                </c:pt>
                <c:pt idx="6">
                  <c:v>245</c:v>
                </c:pt>
                <c:pt idx="7">
                  <c:v>2567</c:v>
                </c:pt>
                <c:pt idx="8">
                  <c:v>456</c:v>
                </c:pt>
                <c:pt idx="9">
                  <c:v>760</c:v>
                </c:pt>
                <c:pt idx="10">
                  <c:v>890</c:v>
                </c:pt>
                <c:pt idx="11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1D-42F7-8A37-8DB0294831F4}"/>
            </c:ext>
          </c:extLst>
        </c:ser>
        <c:ser>
          <c:idx val="4"/>
          <c:order val="4"/>
          <c:tx>
            <c:strRef>
              <c:f>'renamed budget database'!$A$8</c:f>
              <c:strCache>
                <c:ptCount val="1"/>
                <c:pt idx="0">
                  <c:v>Water&amp;Electricity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'renamed budget database'!$B$2:$M$3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'renamed budget database'!$B$8:$M$8</c:f>
              <c:numCache>
                <c:formatCode>"R"#\ ##0.00</c:formatCode>
                <c:ptCount val="12"/>
                <c:pt idx="0">
                  <c:v>1550</c:v>
                </c:pt>
                <c:pt idx="1">
                  <c:v>2908</c:v>
                </c:pt>
                <c:pt idx="2">
                  <c:v>1245</c:v>
                </c:pt>
                <c:pt idx="3">
                  <c:v>1235</c:v>
                </c:pt>
                <c:pt idx="4">
                  <c:v>4560</c:v>
                </c:pt>
                <c:pt idx="5">
                  <c:v>3576</c:v>
                </c:pt>
                <c:pt idx="6">
                  <c:v>3500</c:v>
                </c:pt>
                <c:pt idx="7">
                  <c:v>2500</c:v>
                </c:pt>
                <c:pt idx="8">
                  <c:v>2370</c:v>
                </c:pt>
                <c:pt idx="9">
                  <c:v>4000</c:v>
                </c:pt>
                <c:pt idx="10">
                  <c:v>4500</c:v>
                </c:pt>
                <c:pt idx="11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1D-42F7-8A37-8DB0294831F4}"/>
            </c:ext>
          </c:extLst>
        </c:ser>
        <c:ser>
          <c:idx val="5"/>
          <c:order val="5"/>
          <c:tx>
            <c:strRef>
              <c:f>'renamed budget database'!$A$9</c:f>
              <c:strCache>
                <c:ptCount val="1"/>
                <c:pt idx="0">
                  <c:v>Insurance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'renamed budget database'!$B$2:$M$3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'renamed budget database'!$B$9:$M$9</c:f>
              <c:numCache>
                <c:formatCode>"R"#\ ##0.00</c:formatCode>
                <c:ptCount val="12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1400</c:v>
                </c:pt>
                <c:pt idx="6">
                  <c:v>1400</c:v>
                </c:pt>
                <c:pt idx="7">
                  <c:v>1400</c:v>
                </c:pt>
                <c:pt idx="8">
                  <c:v>1400</c:v>
                </c:pt>
                <c:pt idx="9">
                  <c:v>1400</c:v>
                </c:pt>
                <c:pt idx="10">
                  <c:v>1400</c:v>
                </c:pt>
                <c:pt idx="1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1D-42F7-8A37-8DB029483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468639"/>
        <c:axId val="98464063"/>
      </c:barChart>
      <c:catAx>
        <c:axId val="9846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4063"/>
        <c:crosses val="autoZero"/>
        <c:auto val="1"/>
        <c:lblAlgn val="ctr"/>
        <c:lblOffset val="100"/>
        <c:noMultiLvlLbl val="0"/>
      </c:catAx>
      <c:valAx>
        <c:axId val="9846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9</xdr:row>
      <xdr:rowOff>147637</xdr:rowOff>
    </xdr:from>
    <xdr:to>
      <xdr:col>10</xdr:col>
      <xdr:colOff>314325</xdr:colOff>
      <xdr:row>24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22578-9054-46B2-8FED-5205EE09B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F6B1-27E9-4357-A68F-FBAAD8785282}">
  <dimension ref="A1:N17"/>
  <sheetViews>
    <sheetView tabSelected="1" workbookViewId="0">
      <selection activeCell="E8" sqref="E8"/>
    </sheetView>
  </sheetViews>
  <sheetFormatPr defaultRowHeight="15" x14ac:dyDescent="0.25"/>
  <cols>
    <col min="1" max="1" width="11" customWidth="1"/>
    <col min="2" max="2" width="11.7109375" customWidth="1"/>
    <col min="4" max="4" width="12.140625" customWidth="1"/>
    <col min="5" max="5" width="14.42578125" customWidth="1"/>
    <col min="6" max="6" width="12.7109375" customWidth="1"/>
    <col min="7" max="7" width="13.5703125" customWidth="1"/>
    <col min="8" max="8" width="11" customWidth="1"/>
  </cols>
  <sheetData>
    <row r="1" spans="1:14" ht="29.25" customHeight="1" x14ac:dyDescent="0.3">
      <c r="A1" s="7" t="s">
        <v>85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</row>
    <row r="2" spans="1:14" ht="29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7</v>
      </c>
      <c r="G2" s="2" t="s">
        <v>5</v>
      </c>
      <c r="H2" s="2" t="s">
        <v>6</v>
      </c>
    </row>
    <row r="3" spans="1:14" ht="17.25" customHeight="1" x14ac:dyDescent="0.25">
      <c r="A3" t="s">
        <v>20</v>
      </c>
      <c r="B3" t="s">
        <v>21</v>
      </c>
      <c r="C3" t="s">
        <v>33</v>
      </c>
      <c r="D3" t="s">
        <v>35</v>
      </c>
      <c r="E3" t="s">
        <v>51</v>
      </c>
      <c r="F3" s="3">
        <v>2500000</v>
      </c>
      <c r="G3" s="5">
        <f>F3/12</f>
        <v>208333.33333333334</v>
      </c>
      <c r="H3" s="4">
        <f>G3*0.86</f>
        <v>179166.66666666669</v>
      </c>
    </row>
    <row r="4" spans="1:14" x14ac:dyDescent="0.25">
      <c r="A4" t="s">
        <v>9</v>
      </c>
      <c r="B4" t="s">
        <v>22</v>
      </c>
      <c r="C4" t="s">
        <v>33</v>
      </c>
      <c r="D4" t="s">
        <v>36</v>
      </c>
      <c r="E4" t="s">
        <v>60</v>
      </c>
      <c r="F4" s="3">
        <v>1500000</v>
      </c>
      <c r="G4" s="5">
        <f t="shared" ref="G4:G16" si="0">F4/12</f>
        <v>125000</v>
      </c>
      <c r="H4" s="4">
        <f t="shared" ref="H4:H16" si="1">G4*0.86</f>
        <v>107500</v>
      </c>
    </row>
    <row r="5" spans="1:14" x14ac:dyDescent="0.25">
      <c r="A5" t="s">
        <v>10</v>
      </c>
      <c r="B5" t="s">
        <v>23</v>
      </c>
      <c r="C5" t="s">
        <v>34</v>
      </c>
      <c r="D5" t="s">
        <v>37</v>
      </c>
      <c r="E5" t="s">
        <v>52</v>
      </c>
      <c r="F5" s="3">
        <v>900000</v>
      </c>
      <c r="G5" s="5">
        <f t="shared" si="0"/>
        <v>75000</v>
      </c>
      <c r="H5" s="4">
        <f t="shared" si="1"/>
        <v>64500</v>
      </c>
    </row>
    <row r="6" spans="1:14" x14ac:dyDescent="0.25">
      <c r="A6" t="s">
        <v>11</v>
      </c>
      <c r="B6" t="s">
        <v>24</v>
      </c>
      <c r="C6" t="s">
        <v>34</v>
      </c>
      <c r="D6" t="s">
        <v>38</v>
      </c>
      <c r="E6" t="s">
        <v>53</v>
      </c>
      <c r="F6" s="3">
        <v>250000</v>
      </c>
      <c r="G6" s="5">
        <f t="shared" si="0"/>
        <v>20833.333333333332</v>
      </c>
      <c r="H6" s="4">
        <f t="shared" si="1"/>
        <v>17916.666666666664</v>
      </c>
    </row>
    <row r="7" spans="1:14" x14ac:dyDescent="0.25">
      <c r="A7" t="s">
        <v>12</v>
      </c>
      <c r="B7" t="s">
        <v>25</v>
      </c>
      <c r="C7" t="s">
        <v>34</v>
      </c>
      <c r="D7" t="s">
        <v>39</v>
      </c>
      <c r="E7" t="s">
        <v>54</v>
      </c>
      <c r="F7" s="3">
        <v>180000</v>
      </c>
      <c r="G7" s="5">
        <f t="shared" si="0"/>
        <v>15000</v>
      </c>
      <c r="H7" s="4">
        <f t="shared" si="1"/>
        <v>12900</v>
      </c>
    </row>
    <row r="8" spans="1:14" x14ac:dyDescent="0.25">
      <c r="A8" t="s">
        <v>13</v>
      </c>
      <c r="B8" t="s">
        <v>26</v>
      </c>
      <c r="C8" t="s">
        <v>33</v>
      </c>
      <c r="D8" t="s">
        <v>40</v>
      </c>
      <c r="E8" t="s">
        <v>55</v>
      </c>
      <c r="F8" s="3">
        <v>350000</v>
      </c>
      <c r="G8" s="5">
        <f t="shared" si="0"/>
        <v>29166.666666666668</v>
      </c>
      <c r="H8" s="4">
        <f t="shared" si="1"/>
        <v>25083.333333333336</v>
      </c>
    </row>
    <row r="9" spans="1:14" x14ac:dyDescent="0.25">
      <c r="A9" t="s">
        <v>14</v>
      </c>
      <c r="B9" t="s">
        <v>27</v>
      </c>
      <c r="C9" t="s">
        <v>34</v>
      </c>
      <c r="D9" t="s">
        <v>41</v>
      </c>
      <c r="E9" t="s">
        <v>56</v>
      </c>
      <c r="F9" s="3">
        <v>420000</v>
      </c>
      <c r="G9" s="5">
        <f t="shared" si="0"/>
        <v>35000</v>
      </c>
      <c r="H9" s="4">
        <f t="shared" si="1"/>
        <v>30100</v>
      </c>
    </row>
    <row r="10" spans="1:14" x14ac:dyDescent="0.25">
      <c r="A10" t="s">
        <v>15</v>
      </c>
      <c r="B10" t="s">
        <v>28</v>
      </c>
      <c r="C10" t="s">
        <v>34</v>
      </c>
      <c r="D10" t="s">
        <v>42</v>
      </c>
      <c r="E10" t="s">
        <v>57</v>
      </c>
      <c r="F10" s="3">
        <v>650000</v>
      </c>
      <c r="G10" s="5">
        <f t="shared" si="0"/>
        <v>54166.666666666664</v>
      </c>
      <c r="H10" s="4">
        <f t="shared" si="1"/>
        <v>46583.333333333328</v>
      </c>
    </row>
    <row r="11" spans="1:14" x14ac:dyDescent="0.25">
      <c r="A11" t="s">
        <v>16</v>
      </c>
      <c r="B11" t="s">
        <v>29</v>
      </c>
      <c r="C11" t="s">
        <v>33</v>
      </c>
      <c r="D11" t="s">
        <v>43</v>
      </c>
      <c r="E11" t="s">
        <v>58</v>
      </c>
      <c r="F11" s="3">
        <v>550000</v>
      </c>
      <c r="G11" s="5">
        <f t="shared" si="0"/>
        <v>45833.333333333336</v>
      </c>
      <c r="H11" s="4">
        <f t="shared" si="1"/>
        <v>39416.666666666672</v>
      </c>
    </row>
    <row r="12" spans="1:14" x14ac:dyDescent="0.25">
      <c r="A12" t="s">
        <v>8</v>
      </c>
      <c r="B12" t="s">
        <v>30</v>
      </c>
      <c r="C12" t="s">
        <v>33</v>
      </c>
      <c r="D12" t="s">
        <v>44</v>
      </c>
      <c r="E12" t="s">
        <v>59</v>
      </c>
      <c r="F12" s="3">
        <v>190000</v>
      </c>
      <c r="G12" s="5">
        <f t="shared" si="0"/>
        <v>15833.333333333334</v>
      </c>
      <c r="H12" s="4">
        <f t="shared" si="1"/>
        <v>13616.666666666668</v>
      </c>
    </row>
    <row r="13" spans="1:14" x14ac:dyDescent="0.25">
      <c r="A13" t="s">
        <v>17</v>
      </c>
      <c r="B13" t="s">
        <v>31</v>
      </c>
      <c r="C13" t="s">
        <v>33</v>
      </c>
      <c r="D13" t="s">
        <v>45</v>
      </c>
      <c r="E13" t="s">
        <v>62</v>
      </c>
      <c r="F13" s="3">
        <v>175000</v>
      </c>
      <c r="G13" s="5">
        <f t="shared" si="0"/>
        <v>14583.333333333334</v>
      </c>
      <c r="H13" s="4">
        <f t="shared" si="1"/>
        <v>12541.666666666668</v>
      </c>
    </row>
    <row r="14" spans="1:14" x14ac:dyDescent="0.25">
      <c r="A14" t="s">
        <v>18</v>
      </c>
      <c r="B14" t="s">
        <v>32</v>
      </c>
      <c r="C14" t="s">
        <v>33</v>
      </c>
      <c r="D14" t="s">
        <v>46</v>
      </c>
      <c r="E14" t="s">
        <v>61</v>
      </c>
      <c r="F14" s="3">
        <v>125000</v>
      </c>
      <c r="G14" s="5">
        <f t="shared" si="0"/>
        <v>10416.666666666666</v>
      </c>
      <c r="H14" s="4">
        <f t="shared" si="1"/>
        <v>8958.3333333333321</v>
      </c>
    </row>
    <row r="15" spans="1:14" x14ac:dyDescent="0.25">
      <c r="A15" t="s">
        <v>19</v>
      </c>
      <c r="B15" t="s">
        <v>50</v>
      </c>
      <c r="C15" t="s">
        <v>33</v>
      </c>
      <c r="D15" t="s">
        <v>47</v>
      </c>
      <c r="E15" t="s">
        <v>63</v>
      </c>
      <c r="F15" s="3">
        <v>85000</v>
      </c>
      <c r="G15" s="5">
        <f t="shared" si="0"/>
        <v>7083.333333333333</v>
      </c>
      <c r="H15" s="4">
        <f t="shared" si="1"/>
        <v>6091.6666666666661</v>
      </c>
    </row>
    <row r="16" spans="1:14" x14ac:dyDescent="0.25">
      <c r="A16" t="s">
        <v>48</v>
      </c>
      <c r="B16" t="s">
        <v>21</v>
      </c>
      <c r="C16" t="s">
        <v>34</v>
      </c>
      <c r="D16" t="s">
        <v>49</v>
      </c>
      <c r="E16" t="s">
        <v>64</v>
      </c>
      <c r="F16" s="3">
        <v>85000</v>
      </c>
      <c r="G16" s="5">
        <f t="shared" si="0"/>
        <v>7083.333333333333</v>
      </c>
      <c r="H16" s="4">
        <f t="shared" si="1"/>
        <v>6091.6666666666661</v>
      </c>
    </row>
    <row r="17" spans="6:8" x14ac:dyDescent="0.25">
      <c r="F17" s="4"/>
      <c r="G17" s="4"/>
      <c r="H17" s="4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6509-25D5-4EE7-B72B-EDBA8A9007FE}">
  <dimension ref="A1:M9"/>
  <sheetViews>
    <sheetView topLeftCell="A4" workbookViewId="0">
      <selection activeCell="D20" sqref="D20"/>
    </sheetView>
  </sheetViews>
  <sheetFormatPr defaultRowHeight="15" x14ac:dyDescent="0.25"/>
  <cols>
    <col min="1" max="1" width="15.7109375" customWidth="1"/>
    <col min="2" max="13" width="11.140625" bestFit="1" customWidth="1"/>
  </cols>
  <sheetData>
    <row r="1" spans="1:13" ht="25.5" customHeight="1" x14ac:dyDescent="0.25">
      <c r="A1" s="8" t="s">
        <v>84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25"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</row>
    <row r="3" spans="1:13" x14ac:dyDescent="0.25">
      <c r="A3" s="6" t="s">
        <v>81</v>
      </c>
    </row>
    <row r="4" spans="1:13" x14ac:dyDescent="0.25">
      <c r="A4" t="s">
        <v>79</v>
      </c>
      <c r="B4" s="4">
        <v>570466.67700000003</v>
      </c>
      <c r="C4" s="4">
        <v>570466.67700000003</v>
      </c>
      <c r="D4" s="4">
        <v>570466.67700000003</v>
      </c>
      <c r="E4" s="4">
        <v>570466.67700000003</v>
      </c>
      <c r="F4" s="4">
        <v>570466.67700000003</v>
      </c>
      <c r="G4" s="4">
        <v>570466.67700000003</v>
      </c>
      <c r="H4" s="4">
        <v>570466.67700000003</v>
      </c>
      <c r="I4" s="4">
        <v>570466.67700000003</v>
      </c>
      <c r="J4" s="4">
        <v>570466.67700000003</v>
      </c>
      <c r="K4" s="4">
        <v>570466.67700000003</v>
      </c>
      <c r="L4" s="4">
        <v>570466.67700000003</v>
      </c>
      <c r="M4" s="4">
        <v>570466.67700000003</v>
      </c>
    </row>
    <row r="5" spans="1:13" x14ac:dyDescent="0.25">
      <c r="A5" t="s">
        <v>77</v>
      </c>
      <c r="B5" s="4">
        <v>1500</v>
      </c>
      <c r="C5" s="4">
        <v>3458</v>
      </c>
      <c r="D5" s="4">
        <v>1234</v>
      </c>
      <c r="E5" s="4">
        <v>1280</v>
      </c>
      <c r="F5" s="4">
        <v>2000</v>
      </c>
      <c r="G5" s="4">
        <v>1450</v>
      </c>
      <c r="H5" s="4">
        <v>0</v>
      </c>
      <c r="I5" s="4">
        <v>759</v>
      </c>
      <c r="J5" s="4">
        <v>2451</v>
      </c>
      <c r="K5" s="4">
        <v>345</v>
      </c>
      <c r="L5" s="4">
        <v>660</v>
      </c>
      <c r="M5" s="4">
        <v>1232</v>
      </c>
    </row>
    <row r="6" spans="1:13" x14ac:dyDescent="0.25">
      <c r="A6" t="s">
        <v>78</v>
      </c>
      <c r="B6" s="4">
        <v>2000</v>
      </c>
      <c r="C6" s="4">
        <v>2000</v>
      </c>
      <c r="D6" s="4">
        <v>2000</v>
      </c>
      <c r="E6" s="4">
        <v>2000</v>
      </c>
      <c r="F6" s="4">
        <v>2000</v>
      </c>
      <c r="G6" s="4">
        <v>2000</v>
      </c>
      <c r="H6" s="4">
        <v>2000</v>
      </c>
      <c r="I6" s="4">
        <v>2000</v>
      </c>
      <c r="J6" s="4">
        <v>2000</v>
      </c>
      <c r="K6" s="4">
        <v>2000</v>
      </c>
      <c r="L6" s="4">
        <v>2000</v>
      </c>
      <c r="M6" s="4">
        <v>2000</v>
      </c>
    </row>
    <row r="7" spans="1:13" x14ac:dyDescent="0.25">
      <c r="A7" t="s">
        <v>80</v>
      </c>
      <c r="B7" s="4">
        <v>4500</v>
      </c>
      <c r="C7" s="4">
        <v>2344</v>
      </c>
      <c r="D7" s="4">
        <v>1230</v>
      </c>
      <c r="E7" s="4">
        <v>1250</v>
      </c>
      <c r="F7" s="4">
        <v>6570</v>
      </c>
      <c r="G7" s="4">
        <v>1239</v>
      </c>
      <c r="H7" s="4">
        <v>245</v>
      </c>
      <c r="I7" s="4">
        <v>2567</v>
      </c>
      <c r="J7" s="4">
        <v>456</v>
      </c>
      <c r="K7" s="4">
        <v>760</v>
      </c>
      <c r="L7" s="4">
        <v>890</v>
      </c>
      <c r="M7" s="4">
        <v>950</v>
      </c>
    </row>
    <row r="8" spans="1:13" x14ac:dyDescent="0.25">
      <c r="A8" t="s">
        <v>82</v>
      </c>
      <c r="B8" s="4">
        <v>1550</v>
      </c>
      <c r="C8" s="4">
        <v>2908</v>
      </c>
      <c r="D8" s="4">
        <v>1245</v>
      </c>
      <c r="E8" s="4">
        <v>1235</v>
      </c>
      <c r="F8" s="4">
        <v>4560</v>
      </c>
      <c r="G8" s="4">
        <v>3576</v>
      </c>
      <c r="H8" s="4">
        <v>3500</v>
      </c>
      <c r="I8" s="4">
        <v>2500</v>
      </c>
      <c r="J8" s="4">
        <v>2370</v>
      </c>
      <c r="K8" s="4">
        <v>4000</v>
      </c>
      <c r="L8" s="4">
        <v>4500</v>
      </c>
      <c r="M8" s="4">
        <v>5500</v>
      </c>
    </row>
    <row r="9" spans="1:13" x14ac:dyDescent="0.25">
      <c r="A9" t="s">
        <v>83</v>
      </c>
      <c r="B9" s="4">
        <v>1400</v>
      </c>
      <c r="C9" s="4">
        <v>1400</v>
      </c>
      <c r="D9" s="4">
        <v>1400</v>
      </c>
      <c r="E9" s="4">
        <v>1400</v>
      </c>
      <c r="F9" s="4">
        <v>1400</v>
      </c>
      <c r="G9" s="4">
        <v>1400</v>
      </c>
      <c r="H9" s="4">
        <v>1400</v>
      </c>
      <c r="I9" s="4">
        <v>1400</v>
      </c>
      <c r="J9" s="4">
        <v>1400</v>
      </c>
      <c r="K9" s="4">
        <v>1400</v>
      </c>
      <c r="L9" s="4">
        <v>1400</v>
      </c>
      <c r="M9" s="4">
        <v>1400</v>
      </c>
    </row>
  </sheetData>
  <mergeCells count="1">
    <mergeCell ref="A1:M1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renamed Company Database</vt:lpstr>
      <vt:lpstr>renamed budget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</dc:creator>
  <cp:lastModifiedBy>nazi</cp:lastModifiedBy>
  <dcterms:created xsi:type="dcterms:W3CDTF">2022-04-04T20:49:26Z</dcterms:created>
  <dcterms:modified xsi:type="dcterms:W3CDTF">2022-04-07T09:19:48Z</dcterms:modified>
</cp:coreProperties>
</file>