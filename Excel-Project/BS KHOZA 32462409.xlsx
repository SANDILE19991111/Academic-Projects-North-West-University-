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zi\Documents\CMPG171\"/>
    </mc:Choice>
  </mc:AlternateContent>
  <xr:revisionPtr revIDLastSave="0" documentId="13_ncr:1_{DF6AC712-9D66-4122-B2D1-F6CBE90178DA}" xr6:coauthVersionLast="47" xr6:coauthVersionMax="47" xr10:uidLastSave="{00000000-0000-0000-0000-000000000000}"/>
  <bookViews>
    <workbookView xWindow="-120" yWindow="-120" windowWidth="15600" windowHeight="11160" xr2:uid="{AF0F88AC-AE93-4083-AE5F-3BE7D144859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9" i="2" l="1"/>
  <c r="B9" i="2"/>
  <c r="B8" i="2"/>
  <c r="C8" i="2"/>
  <c r="D8" i="2"/>
  <c r="D9" i="2" s="1"/>
  <c r="E8" i="2"/>
  <c r="F8" i="2"/>
  <c r="G8" i="2"/>
  <c r="G9" i="2" s="1"/>
  <c r="E9" i="2"/>
  <c r="F9" i="2"/>
  <c r="B10" i="2"/>
  <c r="C10" i="2"/>
  <c r="D10" i="2"/>
  <c r="E10" i="2"/>
  <c r="F10" i="2"/>
  <c r="G10" i="2"/>
  <c r="B11" i="2"/>
  <c r="C11" i="2"/>
  <c r="D11" i="2"/>
  <c r="E11" i="2"/>
  <c r="F11" i="2"/>
  <c r="G11" i="2"/>
  <c r="H9" i="2"/>
  <c r="I9" i="2"/>
  <c r="J9" i="2"/>
  <c r="K9" i="2"/>
  <c r="L9" i="2"/>
  <c r="M9" i="2"/>
  <c r="N12" i="2"/>
  <c r="M12" i="1"/>
  <c r="L11" i="2"/>
  <c r="M11" i="2"/>
  <c r="I11" i="2"/>
  <c r="J11" i="2"/>
  <c r="K11" i="2"/>
  <c r="H11" i="2"/>
  <c r="L10" i="2"/>
  <c r="M10" i="2"/>
  <c r="H10" i="2"/>
  <c r="I10" i="2"/>
  <c r="J10" i="2"/>
  <c r="K10" i="2"/>
  <c r="M8" i="2"/>
  <c r="J8" i="2"/>
  <c r="K8" i="2"/>
  <c r="L8" i="2"/>
  <c r="O3" i="1"/>
  <c r="O4" i="1"/>
  <c r="O5" i="1"/>
  <c r="O6" i="1"/>
  <c r="O7" i="1"/>
  <c r="O8" i="1"/>
  <c r="O9" i="1"/>
  <c r="O10" i="1"/>
  <c r="O11" i="1"/>
  <c r="O12" i="1"/>
  <c r="H8" i="2"/>
  <c r="I8" i="2"/>
  <c r="M4" i="1"/>
  <c r="N4" i="1" s="1"/>
  <c r="M5" i="1"/>
  <c r="N5" i="1" s="1"/>
  <c r="M6" i="1"/>
  <c r="N6" i="1" s="1"/>
  <c r="M7" i="1"/>
  <c r="N7" i="1" s="1"/>
  <c r="M8" i="1"/>
  <c r="N8" i="1" s="1"/>
  <c r="M9" i="1"/>
  <c r="N9" i="1" s="1"/>
  <c r="M10" i="1"/>
  <c r="N10" i="1" s="1"/>
  <c r="M11" i="1"/>
  <c r="N11" i="1" s="1"/>
  <c r="N12" i="1"/>
  <c r="M3" i="1"/>
  <c r="N3" i="1" s="1"/>
  <c r="E12" i="1"/>
  <c r="E11" i="1"/>
  <c r="E10" i="1"/>
  <c r="E9" i="1"/>
  <c r="E8" i="1"/>
  <c r="E7" i="1"/>
  <c r="E6" i="1"/>
  <c r="E5" i="1"/>
  <c r="E4" i="1"/>
  <c r="E3" i="1"/>
</calcChain>
</file>

<file path=xl/sharedStrings.xml><?xml version="1.0" encoding="utf-8"?>
<sst xmlns="http://schemas.openxmlformats.org/spreadsheetml/2006/main" count="100" uniqueCount="76">
  <si>
    <t>Name</t>
  </si>
  <si>
    <t>Surnames</t>
  </si>
  <si>
    <t>Gender</t>
  </si>
  <si>
    <t xml:space="preserve"> Employment date</t>
  </si>
  <si>
    <t>Department</t>
  </si>
  <si>
    <t>Annual salary</t>
  </si>
  <si>
    <t>Sandile</t>
  </si>
  <si>
    <t>Judi</t>
  </si>
  <si>
    <t>Isaac</t>
  </si>
  <si>
    <t>Sphe</t>
  </si>
  <si>
    <t>Lerato</t>
  </si>
  <si>
    <t>Mahlatsi</t>
  </si>
  <si>
    <t>Andile</t>
  </si>
  <si>
    <t>Kulani</t>
  </si>
  <si>
    <t>Kgodiso</t>
  </si>
  <si>
    <t>Thokozani</t>
  </si>
  <si>
    <t>Khoza</t>
  </si>
  <si>
    <t>Chauke</t>
  </si>
  <si>
    <t>Sithole</t>
  </si>
  <si>
    <t>Motswedi</t>
  </si>
  <si>
    <t>Mhlaba</t>
  </si>
  <si>
    <t>Mbeva</t>
  </si>
  <si>
    <t>Ndlovu</t>
  </si>
  <si>
    <t>Mdluli</t>
  </si>
  <si>
    <t>Sibiya</t>
  </si>
  <si>
    <t>Age</t>
  </si>
  <si>
    <t>Male</t>
  </si>
  <si>
    <t>Female</t>
  </si>
  <si>
    <t>Management</t>
  </si>
  <si>
    <t>Sales</t>
  </si>
  <si>
    <t>Finance</t>
  </si>
  <si>
    <t>Marketing</t>
  </si>
  <si>
    <t>Customer Service</t>
  </si>
  <si>
    <t>Research and development</t>
  </si>
  <si>
    <t>Business admintration</t>
  </si>
  <si>
    <t>Business Development</t>
  </si>
  <si>
    <t>Computers and  information technology</t>
  </si>
  <si>
    <t>Hours worked</t>
  </si>
  <si>
    <t>Regular time</t>
  </si>
  <si>
    <t>Security</t>
  </si>
  <si>
    <t>Rate per hour</t>
  </si>
  <si>
    <t>Net salary(@14%)</t>
  </si>
  <si>
    <t>Annaul salary (@14%)</t>
  </si>
  <si>
    <t>Total overtimes</t>
  </si>
  <si>
    <t>Overtime(@1,5)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</si>
  <si>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</si>
  <si>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</si>
  <si>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</si>
  <si>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</si>
  <si>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</si>
  <si>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</si>
  <si>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</si>
  <si>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</si>
  <si>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</si>
  <si>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</si>
  <si>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</si>
  <si>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</si>
  <si>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Income</t>
  </si>
  <si>
    <t>Total Expenses</t>
  </si>
  <si>
    <t>Groceries</t>
  </si>
  <si>
    <t>Airtime</t>
  </si>
  <si>
    <t>Clothing</t>
  </si>
  <si>
    <t>Expenses</t>
  </si>
  <si>
    <t>Minimum Expense</t>
  </si>
  <si>
    <t>Maximum Expense</t>
  </si>
  <si>
    <t>Employee number</t>
  </si>
  <si>
    <t>E02</t>
  </si>
  <si>
    <t>E03</t>
  </si>
  <si>
    <t>E04</t>
  </si>
  <si>
    <t>E05</t>
  </si>
  <si>
    <t>E07</t>
  </si>
  <si>
    <t>E06</t>
  </si>
  <si>
    <t>DATABASE OF THE COMPANY</t>
  </si>
  <si>
    <t>YEAR BUDGET</t>
  </si>
  <si>
    <t>Discretionary income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</si>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</sst>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-1C09]* #,##0_-;\-[$R-1C09]* #,##0_-;_-[$R-1C09]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1" fillId="0" borderId="0" xfId="0" applyFont="1"/>
    <xf numFmtId="164" fontId="0" fillId="0" borderId="0" xfId="0" applyNumberForma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expenses</a:t>
            </a:r>
            <a:r>
              <a:rPr lang="en-ZA" baseline="0"/>
              <a:t> from january to june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Sheet2!$B$2:$G$2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Sheet2!$B$4:$G$4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1-9C9F-49CC-817C-85AE97448F15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Sheet2!$B$2:$G$2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Sheet2!$B$5:$G$5</c:f>
              <c:numCache>
                <c:formatCode>General</c:formatCode>
                <c:ptCount val="6"/>
                <c:pt idx="0">
                  <c:v>700</c:v>
                </c:pt>
                <c:pt idx="1">
                  <c:v>500</c:v>
                </c:pt>
                <c:pt idx="2">
                  <c:v>800</c:v>
                </c:pt>
                <c:pt idx="3">
                  <c:v>400</c:v>
                </c:pt>
                <c:pt idx="4">
                  <c:v>1000</c:v>
                </c:pt>
                <c:pt idx="5">
                  <c:v>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C9F-49CC-817C-85AE97448F15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Sheet2!$B$2:$G$2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Sheet2!$B$6:$G$6</c:f>
              <c:numCache>
                <c:formatCode>General</c:formatCode>
                <c:ptCount val="6"/>
                <c:pt idx="0">
                  <c:v>100</c:v>
                </c:pt>
                <c:pt idx="1">
                  <c:v>150</c:v>
                </c:pt>
                <c:pt idx="2">
                  <c:v>190</c:v>
                </c:pt>
                <c:pt idx="3">
                  <c:v>70</c:v>
                </c:pt>
                <c:pt idx="4">
                  <c:v>250</c:v>
                </c:pt>
                <c:pt idx="5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C9F-49CC-817C-85AE97448F15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Sheet2!$B$2:$G$2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Sheet2!$B$7:$G$7</c:f>
              <c:numCache>
                <c:formatCode>General</c:formatCode>
                <c:ptCount val="6"/>
                <c:pt idx="0">
                  <c:v>200</c:v>
                </c:pt>
                <c:pt idx="1">
                  <c:v>400</c:v>
                </c:pt>
                <c:pt idx="2">
                  <c:v>550</c:v>
                </c:pt>
                <c:pt idx="3">
                  <c:v>0</c:v>
                </c:pt>
                <c:pt idx="4">
                  <c:v>670</c:v>
                </c:pt>
                <c:pt idx="5">
                  <c:v>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C9F-49CC-817C-85AE97448F1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70790800"/>
        <c:axId val="47079288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Sheet2!$B$2:$G$2</c15:sqref>
                        </c15:formulaRef>
                      </c:ext>
                    </c:extLst>
                    <c:strCache>
                      <c:ptCount val="6"/>
                      <c:pt idx="0">
                        <c:v>January</c:v>
                      </c:pt>
                      <c:pt idx="1">
                        <c:v>February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Sheet2!$B$3:$G$3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1500</c:v>
                      </c:pt>
                      <c:pt idx="1">
                        <c:v>2300</c:v>
                      </c:pt>
                      <c:pt idx="2">
                        <c:v>2500</c:v>
                      </c:pt>
                      <c:pt idx="3">
                        <c:v>1200</c:v>
                      </c:pt>
                      <c:pt idx="4">
                        <c:v>3000</c:v>
                      </c:pt>
                      <c:pt idx="5">
                        <c:v>1500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9C9F-49CC-817C-85AE97448F15}"/>
                  </c:ext>
                </c:extLst>
              </c15:ser>
            </c15:filteredBarSeries>
          </c:ext>
        </c:extLst>
      </c:barChart>
      <c:catAx>
        <c:axId val="470790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0792880"/>
        <c:crosses val="autoZero"/>
        <c:auto val="1"/>
        <c:lblAlgn val="ctr"/>
        <c:lblOffset val="100"/>
        <c:noMultiLvlLbl val="0"/>
      </c:catAx>
      <c:valAx>
        <c:axId val="470792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0790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Expenses for September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Sheet2!$J$2</c:f>
              <c:strCache>
                <c:ptCount val="1"/>
                <c:pt idx="0">
                  <c:v>September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Lit>
              <c:ptCount val="4"/>
              <c:pt idx="0">
                <c:v>2</c:v>
              </c:pt>
              <c:pt idx="1">
                <c:v>3</c:v>
              </c:pt>
              <c:pt idx="2">
                <c:v>4</c:v>
              </c:pt>
              <c:pt idx="3">
                <c:v>5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Sheet2!$J$3:$J$7</c15:sqref>
                  </c15:fullRef>
                </c:ext>
              </c:extLst>
              <c:f>Sheet2!$J$4:$J$7</c:f>
              <c:numCache>
                <c:formatCode>General</c:formatCode>
                <c:ptCount val="4"/>
                <c:pt idx="1">
                  <c:v>900</c:v>
                </c:pt>
                <c:pt idx="2">
                  <c:v>120</c:v>
                </c:pt>
                <c:pt idx="3">
                  <c:v>860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  <c:ext xmlns:c16="http://schemas.microsoft.com/office/drawing/2014/chart" uri="{C3380CC4-5D6E-409C-BE32-E72D297353CC}">
              <c16:uniqueId val="{00000000-7EA2-4A95-934F-1318BC4431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expenses</a:t>
            </a:r>
            <a:r>
              <a:rPr lang="en-ZA" baseline="0"/>
              <a:t> from may to september</a:t>
            </a:r>
            <a:endParaRPr lang="en-ZA"/>
          </a:p>
        </c:rich>
      </c:tx>
      <c:layout>
        <c:manualLayout>
          <c:xMode val="edge"/>
          <c:yMode val="edge"/>
          <c:x val="0.319180446194225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Sheet2!$F$2:$J$2</c:f>
              <c:strCache>
                <c:ptCount val="5"/>
                <c:pt idx="0">
                  <c:v>May</c:v>
                </c:pt>
                <c:pt idx="1">
                  <c:v>June</c:v>
                </c:pt>
                <c:pt idx="2">
                  <c:v>July</c:v>
                </c:pt>
                <c:pt idx="3">
                  <c:v>August</c:v>
                </c:pt>
                <c:pt idx="4">
                  <c:v>September</c:v>
                </c:pt>
              </c:strCache>
            </c:strRef>
          </c:cat>
          <c:val>
            <c:numRef>
              <c:f>Sheet2!$F$5:$J$5</c:f>
              <c:numCache>
                <c:formatCode>General</c:formatCode>
                <c:ptCount val="5"/>
                <c:pt idx="0">
                  <c:v>1000</c:v>
                </c:pt>
                <c:pt idx="1">
                  <c:v>750</c:v>
                </c:pt>
                <c:pt idx="2">
                  <c:v>550</c:v>
                </c:pt>
                <c:pt idx="3">
                  <c:v>600</c:v>
                </c:pt>
                <c:pt idx="4">
                  <c:v>900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719-446B-8BFE-8850BACC9357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Sheet2!$F$2:$J$2</c:f>
              <c:strCache>
                <c:ptCount val="5"/>
                <c:pt idx="0">
                  <c:v>May</c:v>
                </c:pt>
                <c:pt idx="1">
                  <c:v>June</c:v>
                </c:pt>
                <c:pt idx="2">
                  <c:v>July</c:v>
                </c:pt>
                <c:pt idx="3">
                  <c:v>August</c:v>
                </c:pt>
                <c:pt idx="4">
                  <c:v>September</c:v>
                </c:pt>
              </c:strCache>
            </c:strRef>
          </c:cat>
          <c:val>
            <c:numRef>
              <c:f>Sheet2!$F$6:$J$6</c:f>
              <c:numCache>
                <c:formatCode>General</c:formatCode>
                <c:ptCount val="5"/>
                <c:pt idx="0">
                  <c:v>250</c:v>
                </c:pt>
                <c:pt idx="1">
                  <c:v>50</c:v>
                </c:pt>
                <c:pt idx="2">
                  <c:v>80</c:v>
                </c:pt>
                <c:pt idx="3">
                  <c:v>176</c:v>
                </c:pt>
                <c:pt idx="4">
                  <c:v>120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719-446B-8BFE-8850BACC9357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Sheet2!$F$2:$J$2</c:f>
              <c:strCache>
                <c:ptCount val="5"/>
                <c:pt idx="0">
                  <c:v>May</c:v>
                </c:pt>
                <c:pt idx="1">
                  <c:v>June</c:v>
                </c:pt>
                <c:pt idx="2">
                  <c:v>July</c:v>
                </c:pt>
                <c:pt idx="3">
                  <c:v>August</c:v>
                </c:pt>
                <c:pt idx="4">
                  <c:v>September</c:v>
                </c:pt>
              </c:strCache>
            </c:strRef>
          </c:cat>
          <c:val>
            <c:numRef>
              <c:f>Sheet2!$F$7:$J$7</c:f>
              <c:numCache>
                <c:formatCode>General</c:formatCode>
                <c:ptCount val="5"/>
                <c:pt idx="0">
                  <c:v>670</c:v>
                </c:pt>
                <c:pt idx="1">
                  <c:v>150</c:v>
                </c:pt>
                <c:pt idx="2">
                  <c:v>350</c:v>
                </c:pt>
                <c:pt idx="3">
                  <c:v>950</c:v>
                </c:pt>
                <c:pt idx="4">
                  <c:v>860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719-446B-8BFE-8850BACC935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569577424"/>
        <c:axId val="569586992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Sheet2!$F$2:$J$2</c15:sqref>
                        </c15:formulaRef>
                      </c:ext>
                    </c:extLst>
                    <c:strCache>
                      <c:ptCount val="5"/>
                      <c:pt idx="0">
                        <c:v>May</c:v>
                      </c:pt>
                      <c:pt idx="1">
                        <c:v>June</c:v>
                      </c:pt>
                      <c:pt idx="2">
                        <c:v>July</c:v>
                      </c:pt>
                      <c:pt idx="3">
                        <c:v>August</c:v>
                      </c:pt>
                      <c:pt idx="4">
                        <c:v>September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Sheet2!$F$3:$J$3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3000</c:v>
                      </c:pt>
                      <c:pt idx="1">
                        <c:v>1500</c:v>
                      </c:pt>
                      <c:pt idx="2">
                        <c:v>2000</c:v>
                      </c:pt>
                      <c:pt idx="3">
                        <c:v>2600</c:v>
                      </c:pt>
                      <c:pt idx="4">
                        <c:v>2200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8719-446B-8BFE-8850BACC9357}"/>
                  </c:ext>
                </c:extLst>
              </c15:ser>
            </c15:filteredLineSeries>
            <c15:filteredLineSeries>
              <c15:ser>
                <c:idx val="1"/>
                <c:order val="1"/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Sheet2!$F$2:$J$2</c15:sqref>
                        </c15:formulaRef>
                      </c:ext>
                    </c:extLst>
                    <c:strCache>
                      <c:ptCount val="5"/>
                      <c:pt idx="0">
                        <c:v>May</c:v>
                      </c:pt>
                      <c:pt idx="1">
                        <c:v>June</c:v>
                      </c:pt>
                      <c:pt idx="2">
                        <c:v>July</c:v>
                      </c:pt>
                      <c:pt idx="3">
                        <c:v>August</c:v>
                      </c:pt>
                      <c:pt idx="4">
                        <c:v>September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Sheet2!$F$4:$J$4</c15:sqref>
                        </c15:formulaRef>
                      </c:ext>
                    </c:extLst>
                    <c:numCache>
                      <c:formatCode>General</c:formatCode>
                      <c:ptCount val="5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8719-446B-8BFE-8850BACC9357}"/>
                  </c:ext>
                </c:extLst>
              </c15:ser>
            </c15:filteredLineSeries>
          </c:ext>
        </c:extLst>
      </c:lineChart>
      <c:catAx>
        <c:axId val="569577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9586992"/>
        <c:crosses val="autoZero"/>
        <c:auto val="1"/>
        <c:lblAlgn val="ctr"/>
        <c:lblOffset val="100"/>
        <c:noMultiLvlLbl val="0"/>
      </c:catAx>
      <c:valAx>
        <c:axId val="569586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9577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expenses</a:t>
            </a:r>
            <a:r>
              <a:rPr lang="en-ZA" baseline="0"/>
              <a:t> for december 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ubbleChart>
        <c:varyColors val="0"/>
        <c:ser>
          <c:idx val="1"/>
          <c:order val="1"/>
          <c:spPr>
            <a:solidFill>
              <a:schemeClr val="accent2">
                <a:alpha val="75000"/>
              </a:schemeClr>
            </a:solidFill>
            <a:ln w="25400"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strRef>
              <c:f>Sheet2!$M$2</c:f>
              <c:strCache>
                <c:ptCount val="1"/>
                <c:pt idx="0">
                  <c:v>December</c:v>
                </c:pt>
              </c:strCache>
            </c:strRef>
          </c:xVal>
          <c:yVal>
            <c:numRef>
              <c:f>Sheet2!$M$5</c:f>
              <c:numCache>
                <c:formatCode>General</c:formatCode>
                <c:ptCount val="1"/>
                <c:pt idx="0">
                  <c:v>1200</c:v>
                </c:pt>
              </c:numCache>
            </c:numRef>
          </c:yVal>
          <c:bubbleSize>
            <c:numRef>
              <c:f>Sheet2!$M$6</c:f>
              <c:numCache>
                <c:formatCode>General</c:formatCode>
                <c:ptCount val="1"/>
                <c:pt idx="0">
                  <c:v>320</c:v>
                </c:pt>
              </c:numCache>
            </c:numRef>
          </c:bubbleSize>
          <c:bubble3D val="1"/>
          <c:extLst>
            <c:ext xmlns:c16="http://schemas.microsoft.com/office/drawing/2014/chart" uri="{C3380CC4-5D6E-409C-BE32-E72D297353CC}">
              <c16:uniqueId val="{00000001-C627-4DAB-B242-F9AD51661887}"/>
            </c:ext>
          </c:extLst>
        </c:ser>
        <c:ser>
          <c:idx val="2"/>
          <c:order val="2"/>
          <c:spPr>
            <a:solidFill>
              <a:schemeClr val="accent3">
                <a:alpha val="75000"/>
              </a:schemeClr>
            </a:solidFill>
            <a:ln w="25400"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strRef>
              <c:f>Sheet2!$M$2</c:f>
              <c:strCache>
                <c:ptCount val="1"/>
                <c:pt idx="0">
                  <c:v>December</c:v>
                </c:pt>
              </c:strCache>
            </c:strRef>
          </c:xVal>
          <c:yVal>
            <c:numRef>
              <c:f>Sheet2!$M$7</c:f>
              <c:numCache>
                <c:formatCode>General</c:formatCode>
                <c:ptCount val="1"/>
                <c:pt idx="0">
                  <c:v>650</c:v>
                </c:pt>
              </c:numCache>
            </c:numRef>
          </c:yVal>
          <c:bubbleSize>
            <c:numLit>
              <c:formatCode>General</c:formatCode>
              <c:ptCount val="1"/>
              <c:pt idx="0">
                <c:v>1</c:v>
              </c:pt>
            </c:numLit>
          </c:bubbleSize>
          <c:bubble3D val="1"/>
          <c:extLst>
            <c:ext xmlns:c16="http://schemas.microsoft.com/office/drawing/2014/chart" uri="{C3380CC4-5D6E-409C-BE32-E72D297353CC}">
              <c16:uniqueId val="{00000002-C627-4DAB-B242-F9AD5166188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bubbleScale val="100"/>
        <c:showNegBubbles val="0"/>
        <c:axId val="520808368"/>
        <c:axId val="520810864"/>
        <c:extLst>
          <c:ext xmlns:c15="http://schemas.microsoft.com/office/drawing/2012/chart" uri="{02D57815-91ED-43cb-92C2-25804820EDAC}">
            <c15:filteredBubbleSeries>
              <c15:ser>
                <c:idx val="0"/>
                <c:order val="0"/>
                <c:spPr>
                  <a:solidFill>
                    <a:schemeClr val="accent1">
                      <a:alpha val="75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strRef>
                    <c:extLst>
                      <c:ext uri="{02D57815-91ED-43cb-92C2-25804820EDAC}">
                        <c15:formulaRef>
                          <c15:sqref>Sheet2!$M$2</c15:sqref>
                        </c15:formulaRef>
                      </c:ext>
                    </c:extLst>
                    <c:strCache>
                      <c:ptCount val="1"/>
                      <c:pt idx="0">
                        <c:v>December</c:v>
                      </c:pt>
                    </c:strCache>
                  </c:strRef>
                </c:xVal>
                <c:yVal>
                  <c:numRef>
                    <c:extLst>
                      <c:ext uri="{02D57815-91ED-43cb-92C2-25804820EDAC}">
                        <c15:formulaRef>
                          <c15:sqref>Sheet2!$M$3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3500</c:v>
                      </c:pt>
                    </c:numCache>
                  </c:numRef>
                </c:yVal>
                <c:bubbleSize>
                  <c:numRef>
                    <c:extLst>
                      <c:ext uri="{02D57815-91ED-43cb-92C2-25804820EDAC}">
                        <c15:formulaRef>
                          <c15:sqref>Sheet2!$M$4</c15:sqref>
                        </c15:formulaRef>
                      </c:ext>
                    </c:extLst>
                    <c:numCache>
                      <c:formatCode>General</c:formatCode>
                      <c:ptCount val="1"/>
                    </c:numCache>
                  </c:numRef>
                </c:bubbleSize>
                <c:bubble3D val="1"/>
                <c:extLst>
                  <c:ext xmlns:c16="http://schemas.microsoft.com/office/drawing/2014/chart" uri="{C3380CC4-5D6E-409C-BE32-E72D297353CC}">
                    <c16:uniqueId val="{00000000-C627-4DAB-B242-F9AD51661887}"/>
                  </c:ext>
                </c:extLst>
              </c15:ser>
            </c15:filteredBubbleSeries>
          </c:ext>
        </c:extLst>
      </c:bubbleChart>
      <c:valAx>
        <c:axId val="520808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0810864"/>
        <c:crosses val="autoZero"/>
        <c:crossBetween val="midCat"/>
      </c:valAx>
      <c:valAx>
        <c:axId val="520810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08083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11</xdr:row>
      <xdr:rowOff>33337</xdr:rowOff>
    </xdr:from>
    <xdr:to>
      <xdr:col>6</xdr:col>
      <xdr:colOff>228600</xdr:colOff>
      <xdr:row>25</xdr:row>
      <xdr:rowOff>109537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2D7C48A-C13C-4978-9A1D-AC8F3E3BF3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247650</xdr:colOff>
      <xdr:row>13</xdr:row>
      <xdr:rowOff>80962</xdr:rowOff>
    </xdr:from>
    <xdr:to>
      <xdr:col>14</xdr:col>
      <xdr:colOff>390525</xdr:colOff>
      <xdr:row>27</xdr:row>
      <xdr:rowOff>157162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89690F5-F67D-440C-94EB-F49738E603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600075</xdr:colOff>
      <xdr:row>26</xdr:row>
      <xdr:rowOff>185737</xdr:rowOff>
    </xdr:from>
    <xdr:to>
      <xdr:col>7</xdr:col>
      <xdr:colOff>133350</xdr:colOff>
      <xdr:row>41</xdr:row>
      <xdr:rowOff>71437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A7DCE24-52EB-412E-9FF9-14DD4891BD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157162</xdr:colOff>
      <xdr:row>28</xdr:row>
      <xdr:rowOff>52387</xdr:rowOff>
    </xdr:from>
    <xdr:to>
      <xdr:col>15</xdr:col>
      <xdr:colOff>300037</xdr:colOff>
      <xdr:row>42</xdr:row>
      <xdr:rowOff>128587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24002C0-FAA2-4622-B1F4-066C3F184C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677A0-AE23-4E76-93F2-EE984E254B44}">
  <dimension ref="A1:O13"/>
  <sheetViews>
    <sheetView tabSelected="1" topLeftCell="H1" zoomScale="83" zoomScaleNormal="83" workbookViewId="0">
      <selection activeCell="F26" sqref="F26"/>
    </sheetView>
  </sheetViews>
  <sheetFormatPr defaultRowHeight="15" x14ac:dyDescent="0.25"/>
  <cols>
    <col min="1" max="1" width="10.140625" customWidth="1"/>
    <col min="2" max="3" width="10.7109375" customWidth="1"/>
    <col min="5" max="5" width="16.7109375" customWidth="1"/>
    <col min="6" max="6" width="35.85546875" customWidth="1"/>
    <col min="7" max="7" width="22.140625" customWidth="1"/>
    <col min="8" max="9" width="14.140625" customWidth="1"/>
    <col min="10" max="10" width="17.42578125" customWidth="1"/>
    <col min="11" max="11" width="13.28515625" customWidth="1"/>
    <col min="12" max="12" width="12.7109375" customWidth="1"/>
    <col min="13" max="13" width="19.7109375" customWidth="1"/>
    <col min="14" max="14" width="18.7109375" customWidth="1"/>
    <col min="15" max="15" width="14.5703125" customWidth="1"/>
  </cols>
  <sheetData>
    <row r="1" spans="1:15" ht="32.25" customHeight="1" x14ac:dyDescent="0.25">
      <c r="A1" s="4" t="s">
        <v>72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5" x14ac:dyDescent="0.25">
      <c r="A2" t="s">
        <v>0</v>
      </c>
      <c r="B2" t="s">
        <v>1</v>
      </c>
      <c r="C2" t="s">
        <v>2</v>
      </c>
      <c r="D2" t="s">
        <v>25</v>
      </c>
      <c r="E2" t="s">
        <v>3</v>
      </c>
      <c r="F2" t="s">
        <v>4</v>
      </c>
      <c r="G2" t="s">
        <v>65</v>
      </c>
      <c r="H2" t="s">
        <v>37</v>
      </c>
      <c r="I2" t="s">
        <v>38</v>
      </c>
      <c r="J2" t="s">
        <v>44</v>
      </c>
      <c r="K2" t="s">
        <v>40</v>
      </c>
      <c r="L2" t="s">
        <v>5</v>
      </c>
      <c r="M2" t="s">
        <v>42</v>
      </c>
      <c r="N2" t="s">
        <v>41</v>
      </c>
      <c r="O2" t="s">
        <v>43</v>
      </c>
    </row>
    <row r="3" spans="1:15" x14ac:dyDescent="0.25">
      <c r="A3" t="s">
        <v>6</v>
      </c>
      <c r="B3" t="s">
        <v>16</v>
      </c>
      <c r="C3" t="s">
        <v>26</v>
      </c>
      <c r="D3">
        <v>25</v>
      </c>
      <c r="E3" s="1">
        <f>DATE(2005,1,11)</f>
        <v>38363</v>
      </c>
      <c r="F3" t="s">
        <v>28</v>
      </c>
      <c r="G3" t="s">
        <v>66</v>
      </c>
      <c r="H3">
        <v>9</v>
      </c>
      <c r="I3">
        <v>7</v>
      </c>
      <c r="J3">
        <v>2</v>
      </c>
      <c r="K3" s="3">
        <v>90</v>
      </c>
      <c r="L3" s="3">
        <v>550000</v>
      </c>
      <c r="M3" s="3">
        <f>L3*0.86</f>
        <v>473000</v>
      </c>
      <c r="N3" s="3">
        <f>M3/12</f>
        <v>39416.666666666664</v>
      </c>
      <c r="O3" s="3">
        <f>I3*K3+(2*1.5)</f>
        <v>633</v>
      </c>
    </row>
    <row r="4" spans="1:15" x14ac:dyDescent="0.25">
      <c r="A4" t="s">
        <v>7</v>
      </c>
      <c r="B4" t="s">
        <v>17</v>
      </c>
      <c r="C4" t="s">
        <v>27</v>
      </c>
      <c r="D4">
        <v>24</v>
      </c>
      <c r="E4" s="1">
        <f>DATE(2005,2,1)</f>
        <v>38384</v>
      </c>
      <c r="F4" t="s">
        <v>29</v>
      </c>
      <c r="G4" t="s">
        <v>67</v>
      </c>
      <c r="H4">
        <v>10</v>
      </c>
      <c r="I4">
        <v>7</v>
      </c>
      <c r="J4">
        <v>3</v>
      </c>
      <c r="K4" s="3">
        <v>170</v>
      </c>
      <c r="L4" s="3">
        <v>350000</v>
      </c>
      <c r="M4" s="3">
        <f t="shared" ref="M4:M12" si="0">L4*0.86</f>
        <v>301000</v>
      </c>
      <c r="N4" s="3">
        <f t="shared" ref="N4:N12" si="1">M4/12</f>
        <v>25083.333333333332</v>
      </c>
      <c r="O4" s="3">
        <f t="shared" ref="O4:O12" si="2">I4*K4+(2*1.5)</f>
        <v>1193</v>
      </c>
    </row>
    <row r="5" spans="1:15" x14ac:dyDescent="0.25">
      <c r="A5" t="s">
        <v>8</v>
      </c>
      <c r="B5" t="s">
        <v>18</v>
      </c>
      <c r="C5" t="s">
        <v>26</v>
      </c>
      <c r="D5">
        <v>23</v>
      </c>
      <c r="E5" s="1">
        <f>DATE(2005,2,2)</f>
        <v>38385</v>
      </c>
      <c r="F5" t="s">
        <v>30</v>
      </c>
      <c r="G5" t="s">
        <v>68</v>
      </c>
      <c r="H5">
        <v>11</v>
      </c>
      <c r="I5">
        <v>7</v>
      </c>
      <c r="J5">
        <v>4</v>
      </c>
      <c r="K5" s="3">
        <v>75</v>
      </c>
      <c r="L5" s="3">
        <v>450000</v>
      </c>
      <c r="M5" s="3">
        <f t="shared" si="0"/>
        <v>387000</v>
      </c>
      <c r="N5" s="3">
        <f t="shared" si="1"/>
        <v>32250</v>
      </c>
      <c r="O5" s="3">
        <f t="shared" si="2"/>
        <v>528</v>
      </c>
    </row>
    <row r="6" spans="1:15" x14ac:dyDescent="0.25">
      <c r="A6" t="s">
        <v>9</v>
      </c>
      <c r="B6" t="s">
        <v>19</v>
      </c>
      <c r="C6" t="s">
        <v>26</v>
      </c>
      <c r="D6">
        <v>22</v>
      </c>
      <c r="E6" s="1">
        <f>DATE(2006,3,1)</f>
        <v>38777</v>
      </c>
      <c r="F6" t="s">
        <v>31</v>
      </c>
      <c r="G6" t="s">
        <v>69</v>
      </c>
      <c r="H6">
        <v>12</v>
      </c>
      <c r="I6">
        <v>7</v>
      </c>
      <c r="J6">
        <v>5</v>
      </c>
      <c r="K6" s="3">
        <v>110</v>
      </c>
      <c r="L6" s="3">
        <v>212000</v>
      </c>
      <c r="M6" s="3">
        <f t="shared" si="0"/>
        <v>182320</v>
      </c>
      <c r="N6" s="3">
        <f t="shared" si="1"/>
        <v>15193.333333333334</v>
      </c>
      <c r="O6" s="3">
        <f t="shared" si="2"/>
        <v>773</v>
      </c>
    </row>
    <row r="7" spans="1:15" x14ac:dyDescent="0.25">
      <c r="A7" t="s">
        <v>10</v>
      </c>
      <c r="B7" t="s">
        <v>20</v>
      </c>
      <c r="C7" t="s">
        <v>27</v>
      </c>
      <c r="D7">
        <v>21</v>
      </c>
      <c r="E7" s="1">
        <f>DATE(2007,3,16)</f>
        <v>39157</v>
      </c>
      <c r="F7" t="s">
        <v>32</v>
      </c>
      <c r="G7" t="s">
        <v>67</v>
      </c>
      <c r="H7">
        <v>10</v>
      </c>
      <c r="I7">
        <v>7</v>
      </c>
      <c r="J7">
        <v>3</v>
      </c>
      <c r="K7" s="3">
        <v>105</v>
      </c>
      <c r="L7" s="3">
        <v>240000</v>
      </c>
      <c r="M7" s="3">
        <f t="shared" si="0"/>
        <v>206400</v>
      </c>
      <c r="N7" s="3">
        <f t="shared" si="1"/>
        <v>17200</v>
      </c>
      <c r="O7" s="3">
        <f t="shared" si="2"/>
        <v>738</v>
      </c>
    </row>
    <row r="8" spans="1:15" x14ac:dyDescent="0.25">
      <c r="A8" t="s">
        <v>11</v>
      </c>
      <c r="B8" t="s">
        <v>16</v>
      </c>
      <c r="C8" t="s">
        <v>26</v>
      </c>
      <c r="D8">
        <v>20</v>
      </c>
      <c r="E8" s="1">
        <f>DATE(2006,4,13)</f>
        <v>38820</v>
      </c>
      <c r="F8" t="s">
        <v>39</v>
      </c>
      <c r="G8" t="s">
        <v>70</v>
      </c>
      <c r="H8">
        <v>14</v>
      </c>
      <c r="I8">
        <v>7</v>
      </c>
      <c r="J8">
        <v>7</v>
      </c>
      <c r="K8" s="3">
        <v>150</v>
      </c>
      <c r="L8" s="3">
        <v>176000</v>
      </c>
      <c r="M8" s="3">
        <f t="shared" si="0"/>
        <v>151360</v>
      </c>
      <c r="N8" s="3">
        <f t="shared" si="1"/>
        <v>12613.333333333334</v>
      </c>
      <c r="O8" s="3">
        <f t="shared" si="2"/>
        <v>1053</v>
      </c>
    </row>
    <row r="9" spans="1:15" x14ac:dyDescent="0.25">
      <c r="A9" t="s">
        <v>12</v>
      </c>
      <c r="B9" t="s">
        <v>21</v>
      </c>
      <c r="C9" t="s">
        <v>26</v>
      </c>
      <c r="D9">
        <v>23</v>
      </c>
      <c r="E9" s="1">
        <f>DATE(2013,5,9)</f>
        <v>41403</v>
      </c>
      <c r="F9" t="s">
        <v>33</v>
      </c>
      <c r="G9" t="s">
        <v>69</v>
      </c>
      <c r="H9">
        <v>12</v>
      </c>
      <c r="I9">
        <v>7</v>
      </c>
      <c r="J9">
        <v>5</v>
      </c>
      <c r="K9" s="3">
        <v>120</v>
      </c>
      <c r="L9" s="3">
        <v>340000</v>
      </c>
      <c r="M9" s="3">
        <f t="shared" si="0"/>
        <v>292400</v>
      </c>
      <c r="N9" s="3">
        <f t="shared" si="1"/>
        <v>24366.666666666668</v>
      </c>
      <c r="O9" s="3">
        <f t="shared" si="2"/>
        <v>843</v>
      </c>
    </row>
    <row r="10" spans="1:15" x14ac:dyDescent="0.25">
      <c r="A10" t="s">
        <v>13</v>
      </c>
      <c r="B10" t="s">
        <v>22</v>
      </c>
      <c r="C10" t="s">
        <v>27</v>
      </c>
      <c r="D10">
        <v>32</v>
      </c>
      <c r="E10" s="1">
        <f>DATE(2012,5,15)</f>
        <v>41044</v>
      </c>
      <c r="F10" t="s">
        <v>34</v>
      </c>
      <c r="G10" t="s">
        <v>69</v>
      </c>
      <c r="H10">
        <v>12</v>
      </c>
      <c r="I10">
        <v>7</v>
      </c>
      <c r="J10">
        <v>5</v>
      </c>
      <c r="K10" s="3">
        <v>145</v>
      </c>
      <c r="L10" s="3">
        <v>180000</v>
      </c>
      <c r="M10" s="3">
        <f t="shared" si="0"/>
        <v>154800</v>
      </c>
      <c r="N10" s="3">
        <f t="shared" si="1"/>
        <v>12900</v>
      </c>
      <c r="O10" s="3">
        <f t="shared" si="2"/>
        <v>1018</v>
      </c>
    </row>
    <row r="11" spans="1:15" x14ac:dyDescent="0.25">
      <c r="A11" t="s">
        <v>14</v>
      </c>
      <c r="B11" t="s">
        <v>23</v>
      </c>
      <c r="C11" t="s">
        <v>26</v>
      </c>
      <c r="D11">
        <v>23</v>
      </c>
      <c r="E11" s="1">
        <f>DATE(2011,2,12)</f>
        <v>40586</v>
      </c>
      <c r="F11" t="s">
        <v>35</v>
      </c>
      <c r="G11" t="s">
        <v>69</v>
      </c>
      <c r="H11">
        <v>12</v>
      </c>
      <c r="I11">
        <v>7</v>
      </c>
      <c r="J11">
        <v>5</v>
      </c>
      <c r="K11" s="3">
        <v>134</v>
      </c>
      <c r="L11" s="3">
        <v>195000</v>
      </c>
      <c r="M11" s="3">
        <f t="shared" si="0"/>
        <v>167700</v>
      </c>
      <c r="N11" s="3">
        <f t="shared" si="1"/>
        <v>13975</v>
      </c>
      <c r="O11" s="3">
        <f t="shared" si="2"/>
        <v>941</v>
      </c>
    </row>
    <row r="12" spans="1:15" x14ac:dyDescent="0.25">
      <c r="A12" t="s">
        <v>15</v>
      </c>
      <c r="B12" t="s">
        <v>24</v>
      </c>
      <c r="C12" t="s">
        <v>26</v>
      </c>
      <c r="D12">
        <v>26</v>
      </c>
      <c r="E12" s="1">
        <f>DATE(2007,3,12)</f>
        <v>39153</v>
      </c>
      <c r="F12" t="s">
        <v>36</v>
      </c>
      <c r="G12" t="s">
        <v>71</v>
      </c>
      <c r="H12">
        <v>13</v>
      </c>
      <c r="I12">
        <v>7</v>
      </c>
      <c r="J12">
        <v>6</v>
      </c>
      <c r="K12" s="3">
        <v>56</v>
      </c>
      <c r="L12" s="3">
        <v>4500000</v>
      </c>
      <c r="M12" s="3">
        <f>L12*0.86</f>
        <v>3870000</v>
      </c>
      <c r="N12" s="3">
        <f t="shared" si="1"/>
        <v>322500</v>
      </c>
      <c r="O12" s="3">
        <f t="shared" si="2"/>
        <v>395</v>
      </c>
    </row>
    <row r="13" spans="1:15" x14ac:dyDescent="0.25">
      <c r="K13" s="3"/>
      <c r="L13" s="3"/>
      <c r="M13" s="3"/>
      <c r="N13" s="3"/>
      <c r="O13" s="3"/>
    </row>
  </sheetData>
  <mergeCells count="1">
    <mergeCell ref="A1:O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623CC-3953-4CD4-8A83-CB2BBC8E070C}">
  <dimension ref="A1:N12"/>
  <sheetViews>
    <sheetView workbookViewId="0">
      <selection sqref="A1:M1"/>
    </sheetView>
  </sheetViews>
  <sheetFormatPr defaultRowHeight="15" x14ac:dyDescent="0.25"/>
  <cols>
    <col min="1" max="1" width="19.5703125" customWidth="1"/>
    <col min="3" max="3" width="10" customWidth="1"/>
    <col min="4" max="4" width="9.42578125" customWidth="1"/>
    <col min="10" max="10" width="10.5703125" customWidth="1"/>
    <col min="11" max="11" width="10.140625" customWidth="1"/>
  </cols>
  <sheetData>
    <row r="1" spans="1:14" ht="24" customHeight="1" x14ac:dyDescent="0.25">
      <c r="A1" s="4" t="s">
        <v>73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4" x14ac:dyDescent="0.25">
      <c r="B2" t="s">
        <v>45</v>
      </c>
      <c r="C2" t="s">
        <v>46</v>
      </c>
      <c r="D2" t="s">
        <v>47</v>
      </c>
      <c r="E2" t="s">
        <v>48</v>
      </c>
      <c r="F2" t="s">
        <v>49</v>
      </c>
      <c r="G2" t="s">
        <v>50</v>
      </c>
      <c r="H2" t="s">
        <v>51</v>
      </c>
      <c r="I2" t="s">
        <v>52</v>
      </c>
      <c r="J2" t="s">
        <v>53</v>
      </c>
      <c r="K2" t="s">
        <v>54</v>
      </c>
      <c r="L2" t="s">
        <v>55</v>
      </c>
      <c r="M2" t="s">
        <v>56</v>
      </c>
    </row>
    <row r="3" spans="1:14" x14ac:dyDescent="0.25">
      <c r="A3" s="2" t="s">
        <v>57</v>
      </c>
      <c r="B3">
        <v>1500</v>
      </c>
      <c r="C3">
        <v>2300</v>
      </c>
      <c r="D3">
        <v>2500</v>
      </c>
      <c r="E3">
        <v>1200</v>
      </c>
      <c r="F3">
        <v>3000</v>
      </c>
      <c r="G3">
        <v>1500</v>
      </c>
      <c r="H3">
        <v>2000</v>
      </c>
      <c r="I3">
        <v>2600</v>
      </c>
      <c r="J3">
        <v>2200</v>
      </c>
      <c r="K3">
        <v>1000</v>
      </c>
      <c r="L3">
        <v>1400</v>
      </c>
      <c r="M3">
        <v>3500</v>
      </c>
    </row>
    <row r="4" spans="1:14" x14ac:dyDescent="0.25">
      <c r="A4" s="2" t="s">
        <v>62</v>
      </c>
    </row>
    <row r="5" spans="1:14" x14ac:dyDescent="0.25">
      <c r="A5" t="s">
        <v>59</v>
      </c>
      <c r="B5">
        <v>700</v>
      </c>
      <c r="C5">
        <v>500</v>
      </c>
      <c r="D5">
        <v>800</v>
      </c>
      <c r="E5">
        <v>400</v>
      </c>
      <c r="F5">
        <v>1000</v>
      </c>
      <c r="G5">
        <v>750</v>
      </c>
      <c r="H5">
        <v>550</v>
      </c>
      <c r="I5">
        <v>600</v>
      </c>
      <c r="J5">
        <v>900</v>
      </c>
      <c r="K5">
        <v>450</v>
      </c>
      <c r="L5">
        <v>550</v>
      </c>
      <c r="M5">
        <v>1200</v>
      </c>
    </row>
    <row r="6" spans="1:14" x14ac:dyDescent="0.25">
      <c r="A6" t="s">
        <v>60</v>
      </c>
      <c r="B6">
        <v>100</v>
      </c>
      <c r="C6">
        <v>150</v>
      </c>
      <c r="D6">
        <v>190</v>
      </c>
      <c r="E6">
        <v>70</v>
      </c>
      <c r="F6">
        <v>250</v>
      </c>
      <c r="G6">
        <v>50</v>
      </c>
      <c r="H6">
        <v>80</v>
      </c>
      <c r="I6">
        <v>176</v>
      </c>
      <c r="J6">
        <v>120</v>
      </c>
      <c r="K6">
        <v>50</v>
      </c>
      <c r="L6">
        <v>60</v>
      </c>
      <c r="M6">
        <v>320</v>
      </c>
    </row>
    <row r="7" spans="1:14" x14ac:dyDescent="0.25">
      <c r="A7" t="s">
        <v>61</v>
      </c>
      <c r="B7">
        <v>200</v>
      </c>
      <c r="C7">
        <v>400</v>
      </c>
      <c r="D7">
        <v>550</v>
      </c>
      <c r="E7">
        <v>0</v>
      </c>
      <c r="F7">
        <v>670</v>
      </c>
      <c r="G7">
        <v>150</v>
      </c>
      <c r="H7">
        <v>350</v>
      </c>
      <c r="I7">
        <v>950</v>
      </c>
      <c r="J7">
        <v>860</v>
      </c>
      <c r="K7">
        <v>200</v>
      </c>
      <c r="L7">
        <v>380</v>
      </c>
      <c r="M7">
        <v>650</v>
      </c>
    </row>
    <row r="8" spans="1:14" x14ac:dyDescent="0.25">
      <c r="A8" s="2" t="s">
        <v>58</v>
      </c>
      <c r="B8">
        <f>SUM(B5:B7)</f>
        <v>1000</v>
      </c>
      <c r="C8">
        <f t="shared" ref="C8:I8" si="0">SUM(C5:C7)</f>
        <v>1050</v>
      </c>
      <c r="D8">
        <f t="shared" si="0"/>
        <v>1540</v>
      </c>
      <c r="E8">
        <f t="shared" si="0"/>
        <v>470</v>
      </c>
      <c r="F8">
        <f t="shared" si="0"/>
        <v>1920</v>
      </c>
      <c r="G8">
        <f t="shared" si="0"/>
        <v>950</v>
      </c>
      <c r="H8">
        <f t="shared" si="0"/>
        <v>980</v>
      </c>
      <c r="I8">
        <f t="shared" si="0"/>
        <v>1726</v>
      </c>
      <c r="J8">
        <f>SUM(J5:J7)</f>
        <v>1880</v>
      </c>
      <c r="K8">
        <f t="shared" ref="K8" si="1">SUM(K5:K7)</f>
        <v>700</v>
      </c>
      <c r="L8">
        <f t="shared" ref="L8" si="2">SUM(L5:L7)</f>
        <v>990</v>
      </c>
      <c r="M8">
        <f>SUM(M5:M7)</f>
        <v>2170</v>
      </c>
    </row>
    <row r="9" spans="1:14" x14ac:dyDescent="0.25">
      <c r="A9" s="2" t="s">
        <v>74</v>
      </c>
      <c r="B9">
        <f>B3-B8</f>
        <v>500</v>
      </c>
      <c r="C9">
        <f t="shared" ref="C9:M9" si="3">C3-C8</f>
        <v>1250</v>
      </c>
      <c r="D9">
        <f t="shared" si="3"/>
        <v>960</v>
      </c>
      <c r="E9">
        <f t="shared" si="3"/>
        <v>730</v>
      </c>
      <c r="F9">
        <f t="shared" si="3"/>
        <v>1080</v>
      </c>
      <c r="G9">
        <f t="shared" si="3"/>
        <v>550</v>
      </c>
      <c r="H9">
        <f t="shared" si="3"/>
        <v>1020</v>
      </c>
      <c r="I9">
        <f t="shared" si="3"/>
        <v>874</v>
      </c>
      <c r="J9">
        <f t="shared" si="3"/>
        <v>320</v>
      </c>
      <c r="K9">
        <f t="shared" si="3"/>
        <v>300</v>
      </c>
      <c r="L9">
        <f t="shared" si="3"/>
        <v>410</v>
      </c>
      <c r="M9">
        <f t="shared" si="3"/>
        <v>1330</v>
      </c>
    </row>
    <row r="10" spans="1:14" x14ac:dyDescent="0.25">
      <c r="A10" s="2" t="s">
        <v>63</v>
      </c>
      <c r="B10">
        <f>MIN(B5:B7)</f>
        <v>100</v>
      </c>
      <c r="C10">
        <f t="shared" ref="C10:M10" si="4">MIN(C5:C7)</f>
        <v>150</v>
      </c>
      <c r="D10">
        <f t="shared" si="4"/>
        <v>190</v>
      </c>
      <c r="E10">
        <f t="shared" si="4"/>
        <v>0</v>
      </c>
      <c r="F10">
        <f t="shared" si="4"/>
        <v>250</v>
      </c>
      <c r="G10">
        <f t="shared" si="4"/>
        <v>50</v>
      </c>
      <c r="H10">
        <f t="shared" si="4"/>
        <v>80</v>
      </c>
      <c r="I10">
        <f t="shared" si="4"/>
        <v>176</v>
      </c>
      <c r="J10">
        <f t="shared" si="4"/>
        <v>120</v>
      </c>
      <c r="K10">
        <f t="shared" si="4"/>
        <v>50</v>
      </c>
      <c r="L10">
        <f>MIN(L5:L7)</f>
        <v>60</v>
      </c>
      <c r="M10">
        <f t="shared" si="4"/>
        <v>320</v>
      </c>
    </row>
    <row r="11" spans="1:14" x14ac:dyDescent="0.25">
      <c r="A11" s="2" t="s">
        <v>64</v>
      </c>
      <c r="B11">
        <f>MAX(B5:B7)</f>
        <v>700</v>
      </c>
      <c r="C11">
        <f t="shared" ref="C11:M11" si="5">MAX(C5:C7)</f>
        <v>500</v>
      </c>
      <c r="D11">
        <f t="shared" si="5"/>
        <v>800</v>
      </c>
      <c r="E11">
        <f t="shared" si="5"/>
        <v>400</v>
      </c>
      <c r="F11">
        <f t="shared" si="5"/>
        <v>1000</v>
      </c>
      <c r="G11">
        <f t="shared" si="5"/>
        <v>750</v>
      </c>
      <c r="H11">
        <f t="shared" si="5"/>
        <v>550</v>
      </c>
      <c r="I11">
        <f>MAX(I5:I7)</f>
        <v>950</v>
      </c>
      <c r="J11">
        <f t="shared" si="5"/>
        <v>900</v>
      </c>
      <c r="K11">
        <f t="shared" si="5"/>
        <v>450</v>
      </c>
      <c r="L11">
        <f>MAX(L5:L7)</f>
        <v>550</v>
      </c>
      <c r="M11">
        <f t="shared" si="5"/>
        <v>1200</v>
      </c>
    </row>
    <row r="12" spans="1:14" x14ac:dyDescent="0.25">
      <c r="A12" s="2"/>
      <c r="B12" t="s">
        <v>75</v>
      </c>
      <c r="C12" t="s">
        <v>75</v>
      </c>
      <c r="D12" t="s">
        <v>75</v>
      </c>
      <c r="E12" t="s">
        <v>75</v>
      </c>
      <c r="F12" t="s">
        <v>75</v>
      </c>
      <c r="G12" t="s">
        <v>75</v>
      </c>
      <c r="H12" t="s">
        <v>75</v>
      </c>
      <c r="I12" t="s">
        <v>75</v>
      </c>
      <c r="J12" t="s">
        <v>75</v>
      </c>
      <c r="K12" t="s">
        <v>75</v>
      </c>
      <c r="L12" t="s">
        <v>75</v>
      </c>
      <c r="M12" t="s">
        <v>75</v>
      </c>
      <c r="N12">
        <f t="shared" ref="C12:N12" si="6">N3-N8</f>
        <v>0</v>
      </c>
    </row>
  </sheetData>
  <mergeCells count="1">
    <mergeCell ref="A1:M1"/>
  </mergeCells>
  <phoneticPr fontId="2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nazi</dc:creator>
  <cp:lastModifiedBy>nazi</cp:lastModifiedBy>
  <cp:lastPrinted>2022-04-21T18:44:19Z</cp:lastPrinted>
  <dcterms:created xsi:type="dcterms:W3CDTF">2022-04-21T16:27:19Z</dcterms:created>
  <dcterms:modified xsi:type="dcterms:W3CDTF">2022-04-22T13:48:03Z</dcterms:modified>
</cp:coreProperties>
</file>